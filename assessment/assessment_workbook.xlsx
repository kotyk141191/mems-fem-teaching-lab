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mpetency framework" sheetId="2" state="visible" r:id="rId4"/>
    <sheet name="Test blueprint" sheetId="3" state="visible" r:id="rId5"/>
    <sheet name="Rubric" sheetId="4" state="visible" r:id="rId6"/>
    <sheet name="Self-efficacy survey" sheetId="5" state="visible" r:id="rId7"/>
    <sheet name="Scores" sheetId="6" state="visible" r:id="rId8"/>
    <sheet name="Gain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<sst xmlns="http://schemas.openxmlformats.org/spreadsheetml/2006/main" count="216" uniqueCount="121">
  <si>
    <t xml:space="preserve">Assessment workbook</t>
  </si>
  <si>
    <t xml:space="preserve">Companion to the open-source MEMS finite-element laboratory sequence.</t>
  </si>
  <si>
    <t xml:space="preserve">Sheets you read:</t>
  </si>
  <si>
    <t xml:space="preserve">Competency framework   the six competencies C1-C6, their Bloom level and the lab that develops each</t>
  </si>
  <si>
    <t xml:space="preserve">Test blueprint         the seven pre/post items, each mapped to a competency and a Bloom level</t>
  </si>
  <si>
    <t xml:space="preserve">Rubric                 four ordered performance-level descriptors for every competency</t>
  </si>
  <si>
    <t xml:space="preserve">Self-efficacy survey   one 'I can ...' statement per competency, five-point Likert</t>
  </si>
  <si>
    <t xml:space="preserve">Sheets you fill in:</t>
  </si>
  <si>
    <t xml:space="preserve">Scores                 one row per student per phase. Yellow cells are yours to edit.</t>
  </si>
  <si>
    <t xml:space="preserve">                       phase must be exactly 'pre' or 'post'. Scores are percentages, 0-100.</t>
  </si>
  <si>
    <t xml:space="preserve">                       Rows 2-7 hold example values showing the expected format; delete them.</t>
  </si>
  <si>
    <t xml:space="preserve">Gain analysis          computes itself from the Scores sheet. Do not edit.</t>
  </si>
  <si>
    <t xml:space="preserve">The same numbers come out of scripts/analyse_scores.py, which also draws the figures</t>
  </si>
  <si>
    <t xml:space="preserve">and runs the paired t-test and effect size. Export Scores as CSV and pass it to the script.</t>
  </si>
  <si>
    <t xml:space="preserve">id</t>
  </si>
  <si>
    <t xml:space="preserve">competency</t>
  </si>
  <si>
    <t xml:space="preserve">bloom_level</t>
  </si>
  <si>
    <t xml:space="preserve">descriptor</t>
  </si>
  <si>
    <t xml:space="preserve">lab</t>
  </si>
  <si>
    <t xml:space="preserve">C1</t>
  </si>
  <si>
    <t xml:space="preserve">Explain MEMS transduction and thin-plate mechanics of the diaphragm</t>
  </si>
  <si>
    <t xml:space="preserve">Understand</t>
  </si>
  <si>
    <t xml:space="preserve">Domain knowledge</t>
  </si>
  <si>
    <t xml:space="preserve">C2</t>
  </si>
  <si>
    <t xml:space="preserve">Construct parametric geometry and generate a quality mesh (GMSH)</t>
  </si>
  <si>
    <t xml:space="preserve">Apply</t>
  </si>
  <si>
    <t xml:space="preserve">Model preparation</t>
  </si>
  <si>
    <t xml:space="preserve">C3</t>
  </si>
  <si>
    <t xml:space="preserve">Configure and execute an FEM simulation with correct BCs and loads</t>
  </si>
  <si>
    <t xml:space="preserve">Simulation execution</t>
  </si>
  <si>
    <t xml:space="preserve">C4</t>
  </si>
  <si>
    <t xml:space="preserve">Verify and validate: convergence, comparison to theory, error quantification</t>
  </si>
  <si>
    <t xml:space="preserve">Analyse</t>
  </si>
  <si>
    <t xml:space="preserve">Verification &amp; validation</t>
  </si>
  <si>
    <t xml:space="preserve">C5</t>
  </si>
  <si>
    <t xml:space="preserve">Interpret fields to extract figures of merit and critique them</t>
  </si>
  <si>
    <t xml:space="preserve">Evaluate</t>
  </si>
  <si>
    <t xml:space="preserve">Result interpretation</t>
  </si>
  <si>
    <t xml:space="preserve">C6</t>
  </si>
  <si>
    <t xml:space="preserve">Design and optimise a diaphragm to meet a specification</t>
  </si>
  <si>
    <t xml:space="preserve">Create</t>
  </si>
  <si>
    <t xml:space="preserve">Design synthesis</t>
  </si>
  <si>
    <t xml:space="preserve">item</t>
  </si>
  <si>
    <t xml:space="preserve">format</t>
  </si>
  <si>
    <t xml:space="preserve">max_points</t>
  </si>
  <si>
    <t xml:space="preserve">Q1</t>
  </si>
  <si>
    <t xml:space="preserve">Short answer: describe the transduction chain</t>
  </si>
  <si>
    <t xml:space="preserve">Q2</t>
  </si>
  <si>
    <t xml:space="preserve">Multiple choice: where does peak stress occur</t>
  </si>
  <si>
    <t xml:space="preserve">Q3</t>
  </si>
  <si>
    <t xml:space="preserve">Task: parameters that define the mesh and groups</t>
  </si>
  <si>
    <t xml:space="preserve">Q4</t>
  </si>
  <si>
    <t xml:space="preserve">Task: state correct BCs and load for the diaphragm</t>
  </si>
  <si>
    <t xml:space="preserve">Q5</t>
  </si>
  <si>
    <t xml:space="preserve">Problem: given data, quantify convergence error</t>
  </si>
  <si>
    <t xml:space="preserve">Q6</t>
  </si>
  <si>
    <t xml:space="preserve">Problem: derive sensitivity from an edge stress</t>
  </si>
  <si>
    <t xml:space="preserve">Q7</t>
  </si>
  <si>
    <t xml:space="preserve">Open: propose a design meeting a target sensitivity</t>
  </si>
  <si>
    <t xml:space="preserve">level</t>
  </si>
  <si>
    <t xml:space="preserve">label</t>
  </si>
  <si>
    <t xml:space="preserve">Novice</t>
  </si>
  <si>
    <t xml:space="preserve">States that pressure produces a voltage without naming the intermediate steps.</t>
  </si>
  <si>
    <t xml:space="preserve">Developing</t>
  </si>
  <si>
    <t xml:space="preserve">Names deflection and stress but cannot connect stress to resistance change.</t>
  </si>
  <si>
    <t xml:space="preserve">Proficient</t>
  </si>
  <si>
    <t xml:space="preserve">Traces the full chain from pressure to bridge output with correct signs.</t>
  </si>
  <si>
    <t xml:space="preserve">Advanced</t>
  </si>
  <si>
    <t xml:space="preserve">Traces the chain and explains why the two bridge arms respond with opposite sign.</t>
  </si>
  <si>
    <t xml:space="preserve">Produces a mesh with no control over element size.</t>
  </si>
  <si>
    <t xml:space="preserve">Sets a characteristic length but does not check element quality.</t>
  </si>
  <si>
    <t xml:space="preserve">Builds parametric geometry with named physical groups and a controlled mesh.</t>
  </si>
  <si>
    <t xml:space="preserve">Justifies the mesh size against the quantity of interest and the cost budget.</t>
  </si>
  <si>
    <t xml:space="preserve">Runs a solver with default settings and unclear boundary conditions.</t>
  </si>
  <si>
    <t xml:space="preserve">Applies a load but the clamped condition is incomplete.</t>
  </si>
  <si>
    <t xml:space="preserve">Imposes both clamped conditions and the uniform load correctly and extracts the field.</t>
  </si>
  <si>
    <t xml:space="preserve">Explains the effect of each boundary condition on the solution and checks it.</t>
  </si>
  <si>
    <t xml:space="preserve">Accepts a single result with no convergence or validation check.</t>
  </si>
  <si>
    <t xml:space="preserve">Runs more than one mesh but does not quantify error or compare to theory.</t>
  </si>
  <si>
    <t xml:space="preserve">Performs a convergence study and quantifies error against the analytical solution.</t>
  </si>
  <si>
    <t xml:space="preserve">Distinguishes displacement from stress convergence and selects a mesh to a stated tolerance.</t>
  </si>
  <si>
    <t xml:space="preserve">Reports raw field values without converting them to a figure of merit.</t>
  </si>
  <si>
    <t xml:space="preserve">Computes sensitivity but does not question the result.</t>
  </si>
  <si>
    <t xml:space="preserve">Extracts sensitivity correctly and states the assumptions behind it.</t>
  </si>
  <si>
    <t xml:space="preserve">Critiques the figure of merit against the model's validity limits.</t>
  </si>
  <si>
    <t xml:space="preserve">Changes parameters without reference to the specification.</t>
  </si>
  <si>
    <t xml:space="preserve">Meets one constraint while violating the other.</t>
  </si>
  <si>
    <t xml:space="preserve">Produces a design that meets the combined specification.</t>
  </si>
  <si>
    <t xml:space="preserve">Meets the specification and identifies which constraint binds and why.</t>
  </si>
  <si>
    <t xml:space="preserve">statement</t>
  </si>
  <si>
    <t xml:space="preserve">scale</t>
  </si>
  <si>
    <t xml:space="preserve">S1</t>
  </si>
  <si>
    <t xml:space="preserve">I can explain how applied pressure becomes a sensor output voltage.</t>
  </si>
  <si>
    <t xml:space="preserve">1-5 Likert</t>
  </si>
  <si>
    <t xml:space="preserve">S2</t>
  </si>
  <si>
    <t xml:space="preserve">I can build a parametric diaphragm geometry and generate a controlled mesh.</t>
  </si>
  <si>
    <t xml:space="preserve">S3</t>
  </si>
  <si>
    <t xml:space="preserve">I can set up and run a finite-element simulation with the correct boundary conditions.</t>
  </si>
  <si>
    <t xml:space="preserve">S4</t>
  </si>
  <si>
    <t xml:space="preserve">I can verify a simulation by mesh convergence and validate it against theory.</t>
  </si>
  <si>
    <t xml:space="preserve">S5</t>
  </si>
  <si>
    <t xml:space="preserve">I can interpret a computed stress field to obtain a device figure of merit.</t>
  </si>
  <si>
    <t xml:space="preserve">S6</t>
  </si>
  <si>
    <t xml:space="preserve">I can design a diaphragm that meets a given performance specification.</t>
  </si>
  <si>
    <t xml:space="preserve">student_id</t>
  </si>
  <si>
    <t xml:space="preserve">phase</t>
  </si>
  <si>
    <t xml:space="preserve">Yellow cells are inputs. Delete the example rows before use.</t>
  </si>
  <si>
    <t xml:space="preserve">S001</t>
  </si>
  <si>
    <t xml:space="preserve">pre</t>
  </si>
  <si>
    <t xml:space="preserve">post</t>
  </si>
  <si>
    <t xml:space="preserve">S002</t>
  </si>
  <si>
    <t xml:space="preserve">S003</t>
  </si>
  <si>
    <t xml:space="preserve">Competency</t>
  </si>
  <si>
    <t xml:space="preserve">Pre mean [%]</t>
  </si>
  <si>
    <t xml:space="preserve">Post mean [%]</t>
  </si>
  <si>
    <t xml:space="preserve">Normalised gain &lt;g&gt;</t>
  </si>
  <si>
    <t xml:space="preserve">Band</t>
  </si>
  <si>
    <t xml:space="preserve">Overall</t>
  </si>
  <si>
    <t xml:space="preserve">Hake normalised gain &lt;g&gt; = (post - pre) / (100 - pre). Hake, R. R. (1998), American Journal of Physics, 66(1), 64-74.</t>
  </si>
  <si>
    <t xml:space="preserve">Bands are Hake's convention: low &lt; 0.3, medium 0.3-0.7, high &gt;= 0.7.</t>
  </si>
  <si>
    <t xml:space="preserve">The paired t-test and Cohen's d_z are in scripts/analyse_scores.py; this sheet computes the gains only.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</si>
</sst>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6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</row>
    <row r="2" customFormat="false" ht="26.85" hidden="false" customHeight="false" outlineLevel="0" collapsed="false">
      <c r="A2" s="5" t="s">
        <v>19</v>
      </c>
      <c r="B2" s="5" t="s">
        <v>20</v>
      </c>
      <c r="C2" s="5" t="s">
        <v>21</v>
      </c>
      <c r="D2" s="5" t="s">
        <v>22</v>
      </c>
      <c r="E2" s="5" t="n">
        <v>1</v>
      </c>
    </row>
    <row r="3" customFormat="false" ht="26.8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n">
        <v>1</v>
      </c>
    </row>
    <row r="4" customFormat="false" ht="26.85" hidden="false" customHeight="false" outlineLevel="0" collapsed="false">
      <c r="A4" s="5" t="s">
        <v>27</v>
      </c>
      <c r="B4" s="5" t="s">
        <v>28</v>
      </c>
      <c r="C4" s="5" t="s">
        <v>25</v>
      </c>
      <c r="D4" s="5" t="s">
        <v>29</v>
      </c>
      <c r="E4" s="5" t="n">
        <v>2</v>
      </c>
    </row>
    <row r="5" customFormat="false" ht="26.85" hidden="false" customHeight="false" outlineLevel="0" collapsed="false">
      <c r="A5" s="5" t="s">
        <v>30</v>
      </c>
      <c r="B5" s="5" t="s">
        <v>31</v>
      </c>
      <c r="C5" s="5" t="s">
        <v>32</v>
      </c>
      <c r="D5" s="5" t="s">
        <v>33</v>
      </c>
      <c r="E5" s="5" t="n">
        <v>3</v>
      </c>
    </row>
    <row r="6" customFormat="false" ht="26.85" hidden="false" customHeight="false" outlineLevel="0" collapsed="false">
      <c r="A6" s="5" t="s">
        <v>34</v>
      </c>
      <c r="B6" s="5" t="s">
        <v>35</v>
      </c>
      <c r="C6" s="5" t="s">
        <v>36</v>
      </c>
      <c r="D6" s="5" t="s">
        <v>37</v>
      </c>
      <c r="E6" s="5" t="n">
        <v>4</v>
      </c>
    </row>
    <row r="7" customFormat="false" ht="26.85" hidden="false" customHeight="false" outlineLevel="0" collapsed="false">
      <c r="A7" s="5" t="s">
        <v>38</v>
      </c>
      <c r="B7" s="5" t="s">
        <v>39</v>
      </c>
      <c r="C7" s="5" t="s">
        <v>40</v>
      </c>
      <c r="D7" s="5" t="s">
        <v>41</v>
      </c>
      <c r="E7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12"/>
  </cols>
  <sheetData>
    <row r="1" customFormat="false" ht="26.85" hidden="false" customHeight="false" outlineLevel="0" collapsed="false">
      <c r="A1" s="4" t="s">
        <v>42</v>
      </c>
      <c r="B1" s="4" t="s">
        <v>15</v>
      </c>
      <c r="C1" s="4" t="s">
        <v>16</v>
      </c>
      <c r="D1" s="4" t="s">
        <v>43</v>
      </c>
      <c r="E1" s="4" t="s">
        <v>44</v>
      </c>
    </row>
    <row r="2" customFormat="false" ht="15" hidden="false" customHeight="false" outlineLevel="0" collapsed="false">
      <c r="A2" s="5" t="s">
        <v>45</v>
      </c>
      <c r="B2" s="5" t="s">
        <v>19</v>
      </c>
      <c r="C2" s="5" t="s">
        <v>21</v>
      </c>
      <c r="D2" s="5" t="s">
        <v>46</v>
      </c>
      <c r="E2" s="5" t="n">
        <v>10</v>
      </c>
    </row>
    <row r="3" customFormat="false" ht="15" hidden="false" customHeight="false" outlineLevel="0" collapsed="false">
      <c r="A3" s="5" t="s">
        <v>47</v>
      </c>
      <c r="B3" s="5" t="s">
        <v>19</v>
      </c>
      <c r="C3" s="5" t="s">
        <v>21</v>
      </c>
      <c r="D3" s="5" t="s">
        <v>48</v>
      </c>
      <c r="E3" s="5" t="n">
        <v>5</v>
      </c>
    </row>
    <row r="4" customFormat="false" ht="26.85" hidden="false" customHeight="false" outlineLevel="0" collapsed="false">
      <c r="A4" s="5" t="s">
        <v>49</v>
      </c>
      <c r="B4" s="5" t="s">
        <v>23</v>
      </c>
      <c r="C4" s="5" t="s">
        <v>25</v>
      </c>
      <c r="D4" s="5" t="s">
        <v>50</v>
      </c>
      <c r="E4" s="5" t="n">
        <v>15</v>
      </c>
    </row>
    <row r="5" customFormat="false" ht="26.85" hidden="false" customHeight="false" outlineLevel="0" collapsed="false">
      <c r="A5" s="5" t="s">
        <v>51</v>
      </c>
      <c r="B5" s="5" t="s">
        <v>27</v>
      </c>
      <c r="C5" s="5" t="s">
        <v>25</v>
      </c>
      <c r="D5" s="5" t="s">
        <v>52</v>
      </c>
      <c r="E5" s="5" t="n">
        <v>15</v>
      </c>
    </row>
    <row r="6" customFormat="false" ht="15" hidden="false" customHeight="false" outlineLevel="0" collapsed="false">
      <c r="A6" s="5" t="s">
        <v>53</v>
      </c>
      <c r="B6" s="5" t="s">
        <v>30</v>
      </c>
      <c r="C6" s="5" t="s">
        <v>32</v>
      </c>
      <c r="D6" s="5" t="s">
        <v>54</v>
      </c>
      <c r="E6" s="5" t="n">
        <v>20</v>
      </c>
    </row>
    <row r="7" customFormat="false" ht="15" hidden="false" customHeight="false" outlineLevel="0" collapsed="false">
      <c r="A7" s="5" t="s">
        <v>55</v>
      </c>
      <c r="B7" s="5" t="s">
        <v>34</v>
      </c>
      <c r="C7" s="5" t="s">
        <v>36</v>
      </c>
      <c r="D7" s="5" t="s">
        <v>56</v>
      </c>
      <c r="E7" s="5" t="n">
        <v>20</v>
      </c>
    </row>
    <row r="8" customFormat="false" ht="26.85" hidden="false" customHeight="false" outlineLevel="0" collapsed="false">
      <c r="A8" s="5" t="s">
        <v>57</v>
      </c>
      <c r="B8" s="5" t="s">
        <v>38</v>
      </c>
      <c r="C8" s="5" t="s">
        <v>40</v>
      </c>
      <c r="D8" s="5" t="s">
        <v>58</v>
      </c>
      <c r="E8" s="5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26.85" hidden="false" customHeight="false" outlineLevel="0" collapsed="false">
      <c r="A1" s="4" t="s">
        <v>15</v>
      </c>
      <c r="B1" s="4" t="s">
        <v>59</v>
      </c>
      <c r="C1" s="4" t="s">
        <v>60</v>
      </c>
      <c r="D1" s="4" t="s">
        <v>17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s">
        <v>61</v>
      </c>
      <c r="D2" s="5" t="s">
        <v>62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s">
        <v>63</v>
      </c>
      <c r="D3" s="5" t="s">
        <v>64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s">
        <v>65</v>
      </c>
      <c r="D4" s="5" t="s">
        <v>66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s">
        <v>67</v>
      </c>
      <c r="D5" s="5" t="s">
        <v>68</v>
      </c>
    </row>
    <row r="6" customFormat="false" ht="15" hidden="false" customHeight="false" outlineLevel="0" collapsed="false">
      <c r="A6" s="5" t="s">
        <v>23</v>
      </c>
      <c r="B6" s="5" t="n">
        <v>1</v>
      </c>
      <c r="C6" s="5" t="s">
        <v>61</v>
      </c>
      <c r="D6" s="5" t="s">
        <v>69</v>
      </c>
    </row>
    <row r="7" customFormat="false" ht="15" hidden="false" customHeight="false" outlineLevel="0" collapsed="false">
      <c r="A7" s="5" t="s">
        <v>23</v>
      </c>
      <c r="B7" s="5" t="n">
        <v>2</v>
      </c>
      <c r="C7" s="5" t="s">
        <v>63</v>
      </c>
      <c r="D7" s="5" t="s">
        <v>70</v>
      </c>
    </row>
    <row r="8" customFormat="false" ht="15" hidden="false" customHeight="false" outlineLevel="0" collapsed="false">
      <c r="A8" s="5" t="s">
        <v>23</v>
      </c>
      <c r="B8" s="5" t="n">
        <v>3</v>
      </c>
      <c r="C8" s="5" t="s">
        <v>65</v>
      </c>
      <c r="D8" s="5" t="s">
        <v>71</v>
      </c>
    </row>
    <row r="9" customFormat="false" ht="15" hidden="false" customHeight="false" outlineLevel="0" collapsed="false">
      <c r="A9" s="5" t="s">
        <v>23</v>
      </c>
      <c r="B9" s="5" t="n">
        <v>4</v>
      </c>
      <c r="C9" s="5" t="s">
        <v>67</v>
      </c>
      <c r="D9" s="5" t="s">
        <v>72</v>
      </c>
    </row>
    <row r="10" customFormat="false" ht="15" hidden="false" customHeight="false" outlineLevel="0" collapsed="false">
      <c r="A10" s="5" t="s">
        <v>27</v>
      </c>
      <c r="B10" s="5" t="n">
        <v>1</v>
      </c>
      <c r="C10" s="5" t="s">
        <v>61</v>
      </c>
      <c r="D10" s="5" t="s">
        <v>73</v>
      </c>
    </row>
    <row r="11" customFormat="false" ht="15" hidden="false" customHeight="false" outlineLevel="0" collapsed="false">
      <c r="A11" s="5" t="s">
        <v>27</v>
      </c>
      <c r="B11" s="5" t="n">
        <v>2</v>
      </c>
      <c r="C11" s="5" t="s">
        <v>63</v>
      </c>
      <c r="D11" s="5" t="s">
        <v>74</v>
      </c>
    </row>
    <row r="12" customFormat="false" ht="15" hidden="false" customHeight="false" outlineLevel="0" collapsed="false">
      <c r="A12" s="5" t="s">
        <v>27</v>
      </c>
      <c r="B12" s="5" t="n">
        <v>3</v>
      </c>
      <c r="C12" s="5" t="s">
        <v>65</v>
      </c>
      <c r="D12" s="5" t="s">
        <v>75</v>
      </c>
    </row>
    <row r="13" customFormat="false" ht="15" hidden="false" customHeight="false" outlineLevel="0" collapsed="false">
      <c r="A13" s="5" t="s">
        <v>27</v>
      </c>
      <c r="B13" s="5" t="n">
        <v>4</v>
      </c>
      <c r="C13" s="5" t="s">
        <v>67</v>
      </c>
      <c r="D13" s="5" t="s">
        <v>76</v>
      </c>
    </row>
    <row r="14" customFormat="false" ht="15" hidden="false" customHeight="false" outlineLevel="0" collapsed="false">
      <c r="A14" s="5" t="s">
        <v>30</v>
      </c>
      <c r="B14" s="5" t="n">
        <v>1</v>
      </c>
      <c r="C14" s="5" t="s">
        <v>61</v>
      </c>
      <c r="D14" s="5" t="s">
        <v>77</v>
      </c>
    </row>
    <row r="15" customFormat="false" ht="15" hidden="false" customHeight="false" outlineLevel="0" collapsed="false">
      <c r="A15" s="5" t="s">
        <v>30</v>
      </c>
      <c r="B15" s="5" t="n">
        <v>2</v>
      </c>
      <c r="C15" s="5" t="s">
        <v>63</v>
      </c>
      <c r="D15" s="5" t="s">
        <v>78</v>
      </c>
    </row>
    <row r="16" customFormat="false" ht="15" hidden="false" customHeight="false" outlineLevel="0" collapsed="false">
      <c r="A16" s="5" t="s">
        <v>30</v>
      </c>
      <c r="B16" s="5" t="n">
        <v>3</v>
      </c>
      <c r="C16" s="5" t="s">
        <v>65</v>
      </c>
      <c r="D16" s="5" t="s">
        <v>79</v>
      </c>
    </row>
    <row r="17" customFormat="false" ht="26.85" hidden="false" customHeight="false" outlineLevel="0" collapsed="false">
      <c r="A17" s="5" t="s">
        <v>30</v>
      </c>
      <c r="B17" s="5" t="n">
        <v>4</v>
      </c>
      <c r="C17" s="5" t="s">
        <v>67</v>
      </c>
      <c r="D17" s="5" t="s">
        <v>80</v>
      </c>
    </row>
    <row r="18" customFormat="false" ht="15" hidden="false" customHeight="false" outlineLevel="0" collapsed="false">
      <c r="A18" s="5" t="s">
        <v>34</v>
      </c>
      <c r="B18" s="5" t="n">
        <v>1</v>
      </c>
      <c r="C18" s="5" t="s">
        <v>61</v>
      </c>
      <c r="D18" s="5" t="s">
        <v>81</v>
      </c>
    </row>
    <row r="19" customFormat="false" ht="15" hidden="false" customHeight="false" outlineLevel="0" collapsed="false">
      <c r="A19" s="5" t="s">
        <v>34</v>
      </c>
      <c r="B19" s="5" t="n">
        <v>2</v>
      </c>
      <c r="C19" s="5" t="s">
        <v>63</v>
      </c>
      <c r="D19" s="5" t="s">
        <v>82</v>
      </c>
    </row>
    <row r="20" customFormat="false" ht="15" hidden="false" customHeight="false" outlineLevel="0" collapsed="false">
      <c r="A20" s="5" t="s">
        <v>34</v>
      </c>
      <c r="B20" s="5" t="n">
        <v>3</v>
      </c>
      <c r="C20" s="5" t="s">
        <v>65</v>
      </c>
      <c r="D20" s="5" t="s">
        <v>83</v>
      </c>
    </row>
    <row r="21" customFormat="false" ht="15" hidden="false" customHeight="false" outlineLevel="0" collapsed="false">
      <c r="A21" s="5" t="s">
        <v>34</v>
      </c>
      <c r="B21" s="5" t="n">
        <v>4</v>
      </c>
      <c r="C21" s="5" t="s">
        <v>67</v>
      </c>
      <c r="D21" s="5" t="s">
        <v>84</v>
      </c>
    </row>
    <row r="22" customFormat="false" ht="15" hidden="false" customHeight="false" outlineLevel="0" collapsed="false">
      <c r="A22" s="5" t="s">
        <v>38</v>
      </c>
      <c r="B22" s="5" t="n">
        <v>1</v>
      </c>
      <c r="C22" s="5" t="s">
        <v>61</v>
      </c>
      <c r="D22" s="5" t="s">
        <v>85</v>
      </c>
    </row>
    <row r="23" customFormat="false" ht="15" hidden="false" customHeight="false" outlineLevel="0" collapsed="false">
      <c r="A23" s="5" t="s">
        <v>38</v>
      </c>
      <c r="B23" s="5" t="n">
        <v>2</v>
      </c>
      <c r="C23" s="5" t="s">
        <v>63</v>
      </c>
      <c r="D23" s="5" t="s">
        <v>86</v>
      </c>
    </row>
    <row r="24" customFormat="false" ht="15" hidden="false" customHeight="false" outlineLevel="0" collapsed="false">
      <c r="A24" s="5" t="s">
        <v>38</v>
      </c>
      <c r="B24" s="5" t="n">
        <v>3</v>
      </c>
      <c r="C24" s="5" t="s">
        <v>65</v>
      </c>
      <c r="D24" s="5" t="s">
        <v>87</v>
      </c>
    </row>
    <row r="25" customFormat="false" ht="15" hidden="false" customHeight="false" outlineLevel="0" collapsed="false">
      <c r="A25" s="5" t="s">
        <v>38</v>
      </c>
      <c r="B25" s="5" t="n">
        <v>4</v>
      </c>
      <c r="C25" s="5" t="s">
        <v>67</v>
      </c>
      <c r="D25" s="5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4" t="s">
        <v>42</v>
      </c>
      <c r="B1" s="4" t="s">
        <v>15</v>
      </c>
      <c r="C1" s="4" t="s">
        <v>89</v>
      </c>
      <c r="D1" s="4" t="s">
        <v>90</v>
      </c>
    </row>
    <row r="2" customFormat="false" ht="15" hidden="false" customHeight="false" outlineLevel="0" collapsed="false">
      <c r="A2" s="5" t="s">
        <v>91</v>
      </c>
      <c r="B2" s="5" t="s">
        <v>19</v>
      </c>
      <c r="C2" s="5" t="s">
        <v>92</v>
      </c>
      <c r="D2" s="5" t="s">
        <v>93</v>
      </c>
    </row>
    <row r="3" customFormat="false" ht="26.85" hidden="false" customHeight="false" outlineLevel="0" collapsed="false">
      <c r="A3" s="5" t="s">
        <v>94</v>
      </c>
      <c r="B3" s="5" t="s">
        <v>23</v>
      </c>
      <c r="C3" s="5" t="s">
        <v>95</v>
      </c>
      <c r="D3" s="5" t="s">
        <v>93</v>
      </c>
    </row>
    <row r="4" customFormat="false" ht="26.85" hidden="false" customHeight="false" outlineLevel="0" collapsed="false">
      <c r="A4" s="5" t="s">
        <v>96</v>
      </c>
      <c r="B4" s="5" t="s">
        <v>27</v>
      </c>
      <c r="C4" s="5" t="s">
        <v>97</v>
      </c>
      <c r="D4" s="5" t="s">
        <v>93</v>
      </c>
    </row>
    <row r="5" customFormat="false" ht="26.85" hidden="false" customHeight="false" outlineLevel="0" collapsed="false">
      <c r="A5" s="5" t="s">
        <v>98</v>
      </c>
      <c r="B5" s="5" t="s">
        <v>30</v>
      </c>
      <c r="C5" s="5" t="s">
        <v>99</v>
      </c>
      <c r="D5" s="5" t="s">
        <v>93</v>
      </c>
    </row>
    <row r="6" customFormat="false" ht="15" hidden="false" customHeight="false" outlineLevel="0" collapsed="false">
      <c r="A6" s="5" t="s">
        <v>100</v>
      </c>
      <c r="B6" s="5" t="s">
        <v>34</v>
      </c>
      <c r="C6" s="5" t="s">
        <v>101</v>
      </c>
      <c r="D6" s="5" t="s">
        <v>93</v>
      </c>
    </row>
    <row r="7" customFormat="false" ht="15" hidden="false" customHeight="false" outlineLevel="0" collapsed="false">
      <c r="A7" s="5" t="s">
        <v>102</v>
      </c>
      <c r="B7" s="5" t="s">
        <v>38</v>
      </c>
      <c r="C7" s="5" t="s">
        <v>103</v>
      </c>
      <c r="D7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8"/>
  </cols>
  <sheetData>
    <row r="1" customFormat="false" ht="15" hidden="false" customHeight="false" outlineLevel="0" collapsed="false">
      <c r="A1" s="6" t="s">
        <v>104</v>
      </c>
      <c r="B1" s="6" t="s">
        <v>105</v>
      </c>
      <c r="C1" s="6" t="s">
        <v>19</v>
      </c>
      <c r="D1" s="6" t="s">
        <v>23</v>
      </c>
      <c r="E1" s="6" t="s">
        <v>27</v>
      </c>
      <c r="F1" s="6" t="s">
        <v>30</v>
      </c>
      <c r="G1" s="6" t="s">
        <v>34</v>
      </c>
      <c r="H1" s="6" t="s">
        <v>38</v>
      </c>
      <c r="J1" s="7" t="s">
        <v>106</v>
      </c>
    </row>
    <row r="2" customFormat="false" ht="15" hidden="false" customHeight="false" outlineLevel="0" collapsed="false">
      <c r="A2" s="8" t="s">
        <v>107</v>
      </c>
      <c r="B2" s="8" t="s">
        <v>108</v>
      </c>
      <c r="C2" s="8" t="n">
        <v>65</v>
      </c>
      <c r="D2" s="8" t="n">
        <v>50</v>
      </c>
      <c r="E2" s="8" t="n">
        <v>41</v>
      </c>
      <c r="F2" s="8" t="n">
        <v>36</v>
      </c>
      <c r="G2" s="8" t="n">
        <v>43</v>
      </c>
      <c r="H2" s="8" t="n">
        <v>31</v>
      </c>
    </row>
    <row r="3" customFormat="false" ht="15" hidden="false" customHeight="false" outlineLevel="0" collapsed="false">
      <c r="A3" s="8" t="s">
        <v>107</v>
      </c>
      <c r="B3" s="8" t="s">
        <v>109</v>
      </c>
      <c r="C3" s="8" t="n">
        <v>89</v>
      </c>
      <c r="D3" s="8" t="n">
        <v>80</v>
      </c>
      <c r="E3" s="8" t="n">
        <v>79</v>
      </c>
      <c r="F3" s="8" t="n">
        <v>78</v>
      </c>
      <c r="G3" s="8" t="n">
        <v>81</v>
      </c>
      <c r="H3" s="8" t="n">
        <v>72</v>
      </c>
    </row>
    <row r="4" customFormat="false" ht="15" hidden="false" customHeight="false" outlineLevel="0" collapsed="false">
      <c r="A4" s="8" t="s">
        <v>110</v>
      </c>
      <c r="B4" s="8" t="s">
        <v>108</v>
      </c>
      <c r="C4" s="8" t="n">
        <v>58</v>
      </c>
      <c r="D4" s="8" t="n">
        <v>44</v>
      </c>
      <c r="E4" s="8" t="n">
        <v>38</v>
      </c>
      <c r="F4" s="8" t="n">
        <v>30</v>
      </c>
      <c r="G4" s="8" t="n">
        <v>39</v>
      </c>
      <c r="H4" s="8" t="n">
        <v>26</v>
      </c>
    </row>
    <row r="5" customFormat="false" ht="15" hidden="false" customHeight="false" outlineLevel="0" collapsed="false">
      <c r="A5" s="8" t="s">
        <v>110</v>
      </c>
      <c r="B5" s="8" t="s">
        <v>109</v>
      </c>
      <c r="C5" s="8" t="n">
        <v>86</v>
      </c>
      <c r="D5" s="8" t="n">
        <v>76</v>
      </c>
      <c r="E5" s="8" t="n">
        <v>75</v>
      </c>
      <c r="F5" s="8" t="n">
        <v>73</v>
      </c>
      <c r="G5" s="8" t="n">
        <v>78</v>
      </c>
      <c r="H5" s="8" t="n">
        <v>68</v>
      </c>
    </row>
    <row r="6" customFormat="false" ht="15" hidden="false" customHeight="false" outlineLevel="0" collapsed="false">
      <c r="A6" s="8" t="s">
        <v>111</v>
      </c>
      <c r="B6" s="8" t="s">
        <v>108</v>
      </c>
      <c r="C6" s="8" t="n">
        <v>71</v>
      </c>
      <c r="D6" s="8" t="n">
        <v>57</v>
      </c>
      <c r="E6" s="8" t="n">
        <v>47</v>
      </c>
      <c r="F6" s="8" t="n">
        <v>42</v>
      </c>
      <c r="G6" s="8" t="n">
        <v>49</v>
      </c>
      <c r="H6" s="8" t="n">
        <v>37</v>
      </c>
    </row>
    <row r="7" customFormat="false" ht="15" hidden="false" customHeight="false" outlineLevel="0" collapsed="false">
      <c r="A7" s="8" t="s">
        <v>111</v>
      </c>
      <c r="B7" s="8" t="s">
        <v>109</v>
      </c>
      <c r="C7" s="8" t="n">
        <v>92</v>
      </c>
      <c r="D7" s="8" t="n">
        <v>84</v>
      </c>
      <c r="E7" s="8" t="n">
        <v>83</v>
      </c>
      <c r="F7" s="8" t="n">
        <v>82</v>
      </c>
      <c r="G7" s="8" t="n">
        <v>85</v>
      </c>
      <c r="H7" s="8" t="n">
        <v>77</v>
      </c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</row>
    <row r="2" customFormat="false" ht="15" hidden="false" customHeight="false" outlineLevel="0" collapsed="false">
      <c r="A2" s="9" t="s">
        <v>19</v>
      </c>
      <c r="B2" s="10" t="n">
        <f aca="false">IFERROR(AVERAGEIFS(Scores!$C$2:$C$128,Scores!$B$2:$B$128,"pre"),"")</f>
        <v>64.6666666666667</v>
      </c>
      <c r="C2" s="10" t="n">
        <f aca="false">IFERROR(AVERAGEIFS(Scores!$C$2:$C$128,Scores!$B$2:$B$128,"post"),"")</f>
        <v>89</v>
      </c>
      <c r="D2" s="11" t="n">
        <f aca="false">IFERROR((C2-B2)/(100-B2),"")</f>
        <v>0.688679245283019</v>
      </c>
      <c r="E2" s="9" t="str">
        <f aca="false">IFERROR(IF(D2&gt;=0.7,"high",IF(D2&gt;=0.3,"medium","low")),"")</f>
        <v>medium</v>
      </c>
    </row>
    <row r="3" customFormat="false" ht="15" hidden="false" customHeight="false" outlineLevel="0" collapsed="false">
      <c r="A3" s="9" t="s">
        <v>23</v>
      </c>
      <c r="B3" s="10" t="n">
        <f aca="false">IFERROR(AVERAGEIFS(Scores!$D$2:$D$128,Scores!$B$2:$B$128,"pre"),"")</f>
        <v>50.3333333333333</v>
      </c>
      <c r="C3" s="10" t="n">
        <f aca="false">IFERROR(AVERAGEIFS(Scores!$D$2:$D$128,Scores!$B$2:$B$128,"post"),"")</f>
        <v>80</v>
      </c>
      <c r="D3" s="11" t="n">
        <f aca="false">IFERROR((C3-B3)/(100-B3),"")</f>
        <v>0.597315436241611</v>
      </c>
      <c r="E3" s="9" t="str">
        <f aca="false">IFERROR(IF(D3&gt;=0.7,"high",IF(D3&gt;=0.3,"medium","low")),"")</f>
        <v>medium</v>
      </c>
    </row>
    <row r="4" customFormat="false" ht="15" hidden="false" customHeight="false" outlineLevel="0" collapsed="false">
      <c r="A4" s="9" t="s">
        <v>27</v>
      </c>
      <c r="B4" s="10" t="n">
        <f aca="false">IFERROR(AVERAGEIFS(Scores!$E$2:$E$128,Scores!$B$2:$B$128,"pre"),"")</f>
        <v>42</v>
      </c>
      <c r="C4" s="10" t="n">
        <f aca="false">IFERROR(AVERAGEIFS(Scores!$E$2:$E$128,Scores!$B$2:$B$128,"post"),"")</f>
        <v>79</v>
      </c>
      <c r="D4" s="11" t="n">
        <f aca="false">IFERROR((C4-B4)/(100-B4),"")</f>
        <v>0.637931034482759</v>
      </c>
      <c r="E4" s="9" t="str">
        <f aca="false">IFERROR(IF(D4&gt;=0.7,"high",IF(D4&gt;=0.3,"medium","low")),"")</f>
        <v>medium</v>
      </c>
    </row>
    <row r="5" customFormat="false" ht="15" hidden="false" customHeight="false" outlineLevel="0" collapsed="false">
      <c r="A5" s="9" t="s">
        <v>30</v>
      </c>
      <c r="B5" s="10" t="n">
        <f aca="false">IFERROR(AVERAGEIFS(Scores!$F$2:$F$128,Scores!$B$2:$B$128,"pre"),"")</f>
        <v>36</v>
      </c>
      <c r="C5" s="10" t="n">
        <f aca="false">IFERROR(AVERAGEIFS(Scores!$F$2:$F$128,Scores!$B$2:$B$128,"post"),"")</f>
        <v>77.6666666666667</v>
      </c>
      <c r="D5" s="11" t="n">
        <f aca="false">IFERROR((C5-B5)/(100-B5),"")</f>
        <v>0.651041666666667</v>
      </c>
      <c r="E5" s="9" t="str">
        <f aca="false">IFERROR(IF(D5&gt;=0.7,"high",IF(D5&gt;=0.3,"medium","low")),"")</f>
        <v>medium</v>
      </c>
    </row>
    <row r="6" customFormat="false" ht="15" hidden="false" customHeight="false" outlineLevel="0" collapsed="false">
      <c r="A6" s="9" t="s">
        <v>34</v>
      </c>
      <c r="B6" s="10" t="n">
        <f aca="false">IFERROR(AVERAGEIFS(Scores!$G$2:$G$128,Scores!$B$2:$B$128,"pre"),"")</f>
        <v>43.6666666666667</v>
      </c>
      <c r="C6" s="10" t="n">
        <f aca="false">IFERROR(AVERAGEIFS(Scores!$G$2:$G$128,Scores!$B$2:$B$128,"post"),"")</f>
        <v>81.3333333333333</v>
      </c>
      <c r="D6" s="11" t="n">
        <f aca="false">IFERROR((C6-B6)/(100-B6),"")</f>
        <v>0.668639053254438</v>
      </c>
      <c r="E6" s="9" t="str">
        <f aca="false">IFERROR(IF(D6&gt;=0.7,"high",IF(D6&gt;=0.3,"medium","low")),"")</f>
        <v>medium</v>
      </c>
    </row>
    <row r="7" customFormat="false" ht="15" hidden="false" customHeight="false" outlineLevel="0" collapsed="false">
      <c r="A7" s="9" t="s">
        <v>38</v>
      </c>
      <c r="B7" s="10" t="n">
        <f aca="false">IFERROR(AVERAGEIFS(Scores!$H$2:$H$128,Scores!$B$2:$B$128,"pre"),"")</f>
        <v>31.3333333333333</v>
      </c>
      <c r="C7" s="10" t="n">
        <f aca="false">IFERROR(AVERAGEIFS(Scores!$H$2:$H$128,Scores!$B$2:$B$128,"post"),"")</f>
        <v>72.3333333333333</v>
      </c>
      <c r="D7" s="11" t="n">
        <f aca="false">IFERROR((C7-B7)/(100-B7),"")</f>
        <v>0.597087378640777</v>
      </c>
      <c r="E7" s="9" t="str">
        <f aca="false">IFERROR(IF(D7&gt;=0.7,"high",IF(D7&gt;=0.3,"medium","low")),"")</f>
        <v>medium</v>
      </c>
    </row>
    <row r="8" customFormat="false" ht="15" hidden="false" customHeight="false" outlineLevel="0" collapsed="false">
      <c r="A8" s="12" t="s">
        <v>117</v>
      </c>
      <c r="B8" s="10" t="n">
        <f aca="false">IFERROR(AVERAGE(B2:B7),"")</f>
        <v>44.6666666666667</v>
      </c>
      <c r="C8" s="10" t="n">
        <f aca="false">IFERROR(AVERAGE(C2:C7),"")</f>
        <v>79.8888888888889</v>
      </c>
      <c r="D8" s="11" t="n">
        <f aca="false">IFERROR((C8-B8)/(100-B8),"")</f>
        <v>0.636546184738956</v>
      </c>
      <c r="E8" s="9" t="str">
        <f aca="false">IFERROR(IF(D8&gt;=0.7,"high",IF(D8&gt;=0.3,"medium","low")),"")</f>
        <v>medium</v>
      </c>
    </row>
    <row r="10" customFormat="false" ht="15" hidden="false" customHeight="false" outlineLevel="0" collapsed="false">
      <c r="A10" s="7" t="s">
        <v>118</v>
      </c>
    </row>
    <row r="11" customFormat="false" ht="15" hidden="false" customHeight="false" outlineLevel="0" collapsed="false">
      <c r="A11" s="7" t="s">
        <v>119</v>
      </c>
    </row>
    <row r="12" customFormat="false" ht="15" hidden="false" customHeight="false" outlineLevel="0" collapsed="false">
      <c r="A12" s="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2026-09-02T13:38:30Z</dcterms:created>
  <dc:creator>openpyxl</dc:creator>
  <dc:description/>
  <dc:language>en-US</dc:language>
  <cp:lastModifiedBy/>
  <dcterms:modified xsi:type="dcterms:W3CDTF">2026-09-02T13:38:30Z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